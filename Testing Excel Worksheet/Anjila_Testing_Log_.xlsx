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d.docs.live.net/c1506674d26ac12d/Documents/"/>
    </mc:Choice>
  </mc:AlternateContent>
  <xr:revisionPtr revIDLastSave="0" documentId="8_{3FDA5346-C14A-C148-9226-F0ABB7C54FB0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Bug &amp; Test Log" sheetId="1" r:id="rId1"/>
    <sheet name="Summary" sheetId="2" r:id="rId2"/>
  </sheets>
  <definedNames>
    <definedName name="_xlnm._FilterDatabase" localSheetId="0" hidden="1">'Bug &amp; Test Log'!$A$1:$J$14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  <c r="B3" i="2"/>
</calcChain>
</file>

<file path=xl/sharedStrings.xml><?xml version="1.0" encoding="utf-8"?>
<sst xmlns="http://schemas.openxmlformats.org/spreadsheetml/2006/main" count="149" uniqueCount="103">
  <si>
    <t>ID</t>
  </si>
  <si>
    <t>Date</t>
  </si>
  <si>
    <t>Sprint</t>
  </si>
  <si>
    <t>Area Tested</t>
  </si>
  <si>
    <t>What I Did (Test Performed)</t>
  </si>
  <si>
    <t>What I Found</t>
  </si>
  <si>
    <t>Severity</t>
  </si>
  <si>
    <t>Action Taken</t>
  </si>
  <si>
    <t>Status</t>
  </si>
  <si>
    <t>Retest Result</t>
  </si>
  <si>
    <t>T01</t>
  </si>
  <si>
    <t>19/05/2026</t>
  </si>
  <si>
    <t>Sprint 3</t>
  </si>
  <si>
    <t>Game launch</t>
  </si>
  <si>
    <t>Opened game.html in Chrome and clicked Start Mission repeatedly</t>
  </si>
  <si>
    <t>Game would not start — start button unresponsive, mission never loaded</t>
  </si>
  <si>
    <t>High</t>
  </si>
  <si>
    <t>Reported to Richa; start process was rebuilt; re-tested new build</t>
  </si>
  <si>
    <t>Closed</t>
  </si>
  <si>
    <t>Pass</t>
  </si>
  <si>
    <t>T02</t>
  </si>
  <si>
    <t>21/05/2026</t>
  </si>
  <si>
    <t>Audio</t>
  </si>
  <si>
    <t>Played first level with sound on in Chrome and Edge</t>
  </si>
  <si>
    <t>No engine or collision sounds — audio not triggering on user interaction</t>
  </si>
  <si>
    <t>Reported; browser audio trigger functions implemented; verified sound cues</t>
  </si>
  <si>
    <t>T03</t>
  </si>
  <si>
    <t>23/05/2026</t>
  </si>
  <si>
    <t>Controls</t>
  </si>
  <si>
    <t>Tested arrow keys and on-screen controls for lane changes</t>
  </si>
  <si>
    <t>Occasional double lane change on single key press</t>
  </si>
  <si>
    <t>Medium</t>
  </si>
  <si>
    <t>Logged on Trello; key-press handling debounced</t>
  </si>
  <si>
    <t>T04</t>
  </si>
  <si>
    <t>26/05/2026</t>
  </si>
  <si>
    <t>Sprint 4</t>
  </si>
  <si>
    <t>Mobile play</t>
  </si>
  <si>
    <t>Played full level on Android phone (Chrome mobile)</t>
  </si>
  <si>
    <t>Car movement lagging badly on mobile, frame drops during obstacle waves</t>
  </si>
  <si>
    <t>Reported; rendering and controls optimised; re-tested on same device</t>
  </si>
  <si>
    <t>T05</t>
  </si>
  <si>
    <t>29/05/2026</t>
  </si>
  <si>
    <t>Scoring &amp; movement</t>
  </si>
  <si>
    <t>Ran GameV2 build; collected coins and collided with obstacles</t>
  </si>
  <si>
    <t>Score not updating correctly after collision; movement freeze (raised in 29/05 standup)</t>
  </si>
  <si>
    <t>Discussed in standup with Sabina; scoring logic fixed in next commit</t>
  </si>
  <si>
    <t>T06</t>
  </si>
  <si>
    <t>Quiz integration</t>
  </si>
  <si>
    <t>Answered quiz questions correctly and incorrectly on purpose</t>
  </si>
  <si>
    <t>Correct answers sometimes gave no reward feedback</t>
  </si>
  <si>
    <t>Reported; reward popup linked to quiz result</t>
  </si>
  <si>
    <t>T07</t>
  </si>
  <si>
    <t>30/05/2026</t>
  </si>
  <si>
    <t>Progress saving</t>
  </si>
  <si>
    <t>Closed browser mid-game and reopened to check Local Storage save</t>
  </si>
  <si>
    <t>Progress restored correctly; no issue found</t>
  </si>
  <si>
    <t>Low</t>
  </si>
  <si>
    <t>Documented as passed in test notes</t>
  </si>
  <si>
    <t>T08</t>
  </si>
  <si>
    <t>31/05/2026</t>
  </si>
  <si>
    <t>Difficulty levels</t>
  </si>
  <si>
    <t>Played Easy, Medium and Hard back-to-back</t>
  </si>
  <si>
    <t>Hard mode obstacle gap too small — nearly impossible for target age group</t>
  </si>
  <si>
    <t>Raised in team chat; obstacle spawn gap widened for Hard</t>
  </si>
  <si>
    <t>T09</t>
  </si>
  <si>
    <t>01/06/2026</t>
  </si>
  <si>
    <t>Sprint 5</t>
  </si>
  <si>
    <t>Login &amp; register pages</t>
  </si>
  <si>
    <t>Created account, logged out, logged back in; tried invalid inputs</t>
  </si>
  <si>
    <t>Register page accepted empty username</t>
  </si>
  <si>
    <t>Reported; validation added to register form</t>
  </si>
  <si>
    <t>T10</t>
  </si>
  <si>
    <t>Leaderboard</t>
  </si>
  <si>
    <t>Posted several scores from two accounts and checked ordering</t>
  </si>
  <si>
    <t>Scores displayed and ordered correctly</t>
  </si>
  <si>
    <t>Documented as passed</t>
  </si>
  <si>
    <t>T11</t>
  </si>
  <si>
    <t>02/06/2026</t>
  </si>
  <si>
    <t>Cross-browser</t>
  </si>
  <si>
    <t>Smoke test in Chrome, Edge and Firefox before deadline build</t>
  </si>
  <si>
    <t>Minor layout shift on garage page in Firefox</t>
  </si>
  <si>
    <t>Logged; CSS fix applied by Renita</t>
  </si>
  <si>
    <t>T12</t>
  </si>
  <si>
    <t>04/06/2026</t>
  </si>
  <si>
    <t>Sound mapping</t>
  </si>
  <si>
    <t>Verified sound cues against project activity (sound testing doc)</t>
  </si>
  <si>
    <t>Audio events matched activity levels as designed</t>
  </si>
  <si>
    <t>Confirmed and recorded in Meeting 6 evidence</t>
  </si>
  <si>
    <t>T13</t>
  </si>
  <si>
    <t>05/06/2026</t>
  </si>
  <si>
    <t>Full playthrough</t>
  </si>
  <si>
    <t>Final end-to-end run: register → play all 3 levels → leaderboard</t>
  </si>
  <si>
    <t>No blocking issues; prototype demo-ready</t>
  </si>
  <si>
    <t>Signed off final build for presentation</t>
  </si>
  <si>
    <t>Testing Summary — Anjila Gurung (Tester, Road Rush Cyber Racer)</t>
  </si>
  <si>
    <t>Total tests logged</t>
  </si>
  <si>
    <t>High severity found</t>
  </si>
  <si>
    <t>Medium severity found</t>
  </si>
  <si>
    <t>Low / passed checks</t>
  </si>
  <si>
    <t>Issues closed</t>
  </si>
  <si>
    <t>Retests passed</t>
  </si>
  <si>
    <t>Role context: tested builds at the end of every sprint, reported bugs to developers,</t>
  </si>
  <si>
    <t>retested fixes, and signed off the final demo build (05/06/2026).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</si>
</sst>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9C0006"/>
      <name val="Arial"/>
      <family val="2"/>
    </font>
    <font>
      <b/>
      <sz val="10"/>
      <color rgb="FF9C6500"/>
      <name val="Arial"/>
      <family val="2"/>
    </font>
    <font>
      <b/>
      <sz val="10"/>
      <color rgb="FF006100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C7CE"/>
        <bgColor rgb="FFC9CFDB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C9CFDB"/>
      </left>
      <right style="thin">
        <color rgb="FFC9CFDB"/>
      </right>
      <top style="thin">
        <color rgb="FFC9CFDB"/>
      </top>
      <bottom style="thin">
        <color rgb="FFC9CF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CF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Normal="100" workbookViewId="0">
      <pane ySplit="1" topLeftCell="A2" activePane="bottomLeft" state="frozen"/>
      <selection pane="bottomLeft" activeCell="G14" sqref="G14"/>
    </sheetView>
  </sheetViews>
  <sheetFormatPr baseColWidth="10" defaultColWidth="8.6640625" defaultRowHeight="15" x14ac:dyDescent="0.2"/>
  <cols>
    <col min="1" max="1" width="6" customWidth="1"/>
    <col min="2" max="2" width="12" customWidth="1"/>
    <col min="3" max="3" width="10" customWidth="1"/>
    <col min="4" max="4" width="18" customWidth="1"/>
    <col min="5" max="5" width="42" customWidth="1"/>
    <col min="6" max="6" width="44" customWidth="1"/>
    <col min="7" max="7" width="10" customWidth="1"/>
    <col min="8" max="8" width="42" customWidth="1"/>
    <col min="9" max="9" width="9" customWidth="1"/>
    <col min="10" max="10" width="12" customWidth="1"/>
  </cols>
  <sheetData>
    <row r="1" spans="1:10" ht="27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" x14ac:dyDescent="0.2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4" t="s">
        <v>16</v>
      </c>
      <c r="H2" s="3" t="s">
        <v>17</v>
      </c>
      <c r="I2" s="2" t="s">
        <v>18</v>
      </c>
      <c r="J2" s="2" t="s">
        <v>19</v>
      </c>
    </row>
    <row r="3" spans="1:10" ht="28" x14ac:dyDescent="0.2">
      <c r="A3" s="2" t="s">
        <v>20</v>
      </c>
      <c r="B3" s="2" t="s">
        <v>21</v>
      </c>
      <c r="C3" s="2" t="s">
        <v>12</v>
      </c>
      <c r="D3" s="2" t="s">
        <v>22</v>
      </c>
      <c r="E3" s="3" t="s">
        <v>23</v>
      </c>
      <c r="F3" s="3" t="s">
        <v>24</v>
      </c>
      <c r="G3" s="4" t="s">
        <v>16</v>
      </c>
      <c r="H3" s="3" t="s">
        <v>25</v>
      </c>
      <c r="I3" s="2" t="s">
        <v>18</v>
      </c>
      <c r="J3" s="2" t="s">
        <v>19</v>
      </c>
    </row>
    <row r="4" spans="1:10" ht="28" x14ac:dyDescent="0.2">
      <c r="A4" s="2" t="s">
        <v>26</v>
      </c>
      <c r="B4" s="2" t="s">
        <v>27</v>
      </c>
      <c r="C4" s="2" t="s">
        <v>12</v>
      </c>
      <c r="D4" s="2" t="s">
        <v>28</v>
      </c>
      <c r="E4" s="3" t="s">
        <v>29</v>
      </c>
      <c r="F4" s="3" t="s">
        <v>30</v>
      </c>
      <c r="G4" s="5" t="s">
        <v>31</v>
      </c>
      <c r="H4" s="3" t="s">
        <v>32</v>
      </c>
      <c r="I4" s="2" t="s">
        <v>18</v>
      </c>
      <c r="J4" s="2" t="s">
        <v>19</v>
      </c>
    </row>
    <row r="5" spans="1:10" ht="28" x14ac:dyDescent="0.2">
      <c r="A5" s="2" t="s">
        <v>33</v>
      </c>
      <c r="B5" s="2" t="s">
        <v>34</v>
      </c>
      <c r="C5" s="2" t="s">
        <v>35</v>
      </c>
      <c r="D5" s="2" t="s">
        <v>36</v>
      </c>
      <c r="E5" s="3" t="s">
        <v>37</v>
      </c>
      <c r="F5" s="3" t="s">
        <v>38</v>
      </c>
      <c r="G5" s="4" t="s">
        <v>16</v>
      </c>
      <c r="H5" s="3" t="s">
        <v>39</v>
      </c>
      <c r="I5" s="2" t="s">
        <v>18</v>
      </c>
      <c r="J5" s="2" t="s">
        <v>19</v>
      </c>
    </row>
    <row r="6" spans="1:10" ht="28" x14ac:dyDescent="0.2">
      <c r="A6" s="2" t="s">
        <v>40</v>
      </c>
      <c r="B6" s="2" t="s">
        <v>41</v>
      </c>
      <c r="C6" s="2" t="s">
        <v>35</v>
      </c>
      <c r="D6" s="2" t="s">
        <v>42</v>
      </c>
      <c r="E6" s="3" t="s">
        <v>43</v>
      </c>
      <c r="F6" s="3" t="s">
        <v>44</v>
      </c>
      <c r="G6" s="4" t="s">
        <v>16</v>
      </c>
      <c r="H6" s="3" t="s">
        <v>45</v>
      </c>
      <c r="I6" s="2" t="s">
        <v>18</v>
      </c>
      <c r="J6" s="2" t="s">
        <v>19</v>
      </c>
    </row>
    <row r="7" spans="1:10" ht="28" x14ac:dyDescent="0.2">
      <c r="A7" s="2" t="s">
        <v>46</v>
      </c>
      <c r="B7" s="2" t="s">
        <v>41</v>
      </c>
      <c r="C7" s="2" t="s">
        <v>35</v>
      </c>
      <c r="D7" s="2" t="s">
        <v>47</v>
      </c>
      <c r="E7" s="3" t="s">
        <v>48</v>
      </c>
      <c r="F7" s="3" t="s">
        <v>49</v>
      </c>
      <c r="G7" s="5" t="s">
        <v>31</v>
      </c>
      <c r="H7" s="3" t="s">
        <v>50</v>
      </c>
      <c r="I7" s="2" t="s">
        <v>18</v>
      </c>
      <c r="J7" s="2" t="s">
        <v>19</v>
      </c>
    </row>
    <row r="8" spans="1:10" ht="28" x14ac:dyDescent="0.2">
      <c r="A8" s="2" t="s">
        <v>51</v>
      </c>
      <c r="B8" s="2" t="s">
        <v>52</v>
      </c>
      <c r="C8" s="2" t="s">
        <v>35</v>
      </c>
      <c r="D8" s="2" t="s">
        <v>53</v>
      </c>
      <c r="E8" s="3" t="s">
        <v>54</v>
      </c>
      <c r="F8" s="3" t="s">
        <v>55</v>
      </c>
      <c r="G8" s="6" t="s">
        <v>56</v>
      </c>
      <c r="H8" s="3" t="s">
        <v>57</v>
      </c>
      <c r="I8" s="2" t="s">
        <v>18</v>
      </c>
      <c r="J8" s="2" t="s">
        <v>19</v>
      </c>
    </row>
    <row r="9" spans="1:10" ht="28" x14ac:dyDescent="0.2">
      <c r="A9" s="2" t="s">
        <v>58</v>
      </c>
      <c r="B9" s="2" t="s">
        <v>59</v>
      </c>
      <c r="C9" s="2" t="s">
        <v>35</v>
      </c>
      <c r="D9" s="2" t="s">
        <v>60</v>
      </c>
      <c r="E9" s="3" t="s">
        <v>61</v>
      </c>
      <c r="F9" s="3" t="s">
        <v>62</v>
      </c>
      <c r="G9" s="5" t="s">
        <v>31</v>
      </c>
      <c r="H9" s="3" t="s">
        <v>63</v>
      </c>
      <c r="I9" s="2" t="s">
        <v>18</v>
      </c>
      <c r="J9" s="2" t="s">
        <v>19</v>
      </c>
    </row>
    <row r="10" spans="1:10" ht="28" x14ac:dyDescent="0.2">
      <c r="A10" s="2" t="s">
        <v>64</v>
      </c>
      <c r="B10" s="2" t="s">
        <v>65</v>
      </c>
      <c r="C10" s="2" t="s">
        <v>66</v>
      </c>
      <c r="D10" s="2" t="s">
        <v>67</v>
      </c>
      <c r="E10" s="3" t="s">
        <v>68</v>
      </c>
      <c r="F10" s="3" t="s">
        <v>69</v>
      </c>
      <c r="G10" s="5" t="s">
        <v>31</v>
      </c>
      <c r="H10" s="3" t="s">
        <v>70</v>
      </c>
      <c r="I10" s="2" t="s">
        <v>18</v>
      </c>
      <c r="J10" s="2" t="s">
        <v>19</v>
      </c>
    </row>
    <row r="11" spans="1:10" ht="28" x14ac:dyDescent="0.2">
      <c r="A11" s="2" t="s">
        <v>71</v>
      </c>
      <c r="B11" s="2" t="s">
        <v>65</v>
      </c>
      <c r="C11" s="2" t="s">
        <v>66</v>
      </c>
      <c r="D11" s="2" t="s">
        <v>72</v>
      </c>
      <c r="E11" s="3" t="s">
        <v>73</v>
      </c>
      <c r="F11" s="3" t="s">
        <v>74</v>
      </c>
      <c r="G11" s="6" t="s">
        <v>56</v>
      </c>
      <c r="H11" s="3" t="s">
        <v>75</v>
      </c>
      <c r="I11" s="2" t="s">
        <v>18</v>
      </c>
      <c r="J11" s="2" t="s">
        <v>19</v>
      </c>
    </row>
    <row r="12" spans="1:10" ht="28" x14ac:dyDescent="0.2">
      <c r="A12" s="2" t="s">
        <v>76</v>
      </c>
      <c r="B12" s="2" t="s">
        <v>77</v>
      </c>
      <c r="C12" s="2" t="s">
        <v>66</v>
      </c>
      <c r="D12" s="2" t="s">
        <v>78</v>
      </c>
      <c r="E12" s="3" t="s">
        <v>79</v>
      </c>
      <c r="F12" s="3" t="s">
        <v>80</v>
      </c>
      <c r="G12" s="6" t="s">
        <v>56</v>
      </c>
      <c r="H12" s="3" t="s">
        <v>81</v>
      </c>
      <c r="I12" s="2" t="s">
        <v>18</v>
      </c>
      <c r="J12" s="2" t="s">
        <v>19</v>
      </c>
    </row>
    <row r="13" spans="1:10" ht="28" x14ac:dyDescent="0.2">
      <c r="A13" s="2" t="s">
        <v>82</v>
      </c>
      <c r="B13" s="2" t="s">
        <v>83</v>
      </c>
      <c r="C13" s="2" t="s">
        <v>66</v>
      </c>
      <c r="D13" s="2" t="s">
        <v>84</v>
      </c>
      <c r="E13" s="3" t="s">
        <v>85</v>
      </c>
      <c r="F13" s="3" t="s">
        <v>86</v>
      </c>
      <c r="G13" s="6" t="s">
        <v>56</v>
      </c>
      <c r="H13" s="3" t="s">
        <v>87</v>
      </c>
      <c r="I13" s="2" t="s">
        <v>18</v>
      </c>
      <c r="J13" s="2" t="s">
        <v>19</v>
      </c>
    </row>
    <row r="14" spans="1:10" ht="28" x14ac:dyDescent="0.2">
      <c r="A14" s="2" t="s">
        <v>88</v>
      </c>
      <c r="B14" s="2" t="s">
        <v>89</v>
      </c>
      <c r="C14" s="2" t="s">
        <v>66</v>
      </c>
      <c r="D14" s="2" t="s">
        <v>90</v>
      </c>
      <c r="E14" s="3" t="s">
        <v>91</v>
      </c>
      <c r="F14" s="3" t="s">
        <v>92</v>
      </c>
      <c r="G14" s="6" t="s">
        <v>56</v>
      </c>
      <c r="H14" s="3" t="s">
        <v>93</v>
      </c>
      <c r="I14" s="2" t="s">
        <v>18</v>
      </c>
      <c r="J14" s="2" t="s">
        <v>19</v>
      </c>
    </row>
  </sheetData>
  <autoFilter ref="A1:J1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Normal="100" workbookViewId="0"/>
  </sheetViews>
  <sheetFormatPr baseColWidth="10" defaultColWidth="8.6640625" defaultRowHeight="15" x14ac:dyDescent="0.2"/>
  <cols>
    <col min="1" max="1" width="26" customWidth="1"/>
    <col min="2" max="2" width="10" customWidth="1"/>
  </cols>
  <sheetData>
    <row r="1" spans="1:2" ht="17" x14ac:dyDescent="0.2">
      <c r="A1" s="7" t="s">
        <v>94</v>
      </c>
    </row>
    <row r="3" spans="1:2" x14ac:dyDescent="0.2">
      <c r="A3" s="8" t="s">
        <v>95</v>
      </c>
      <c r="B3" s="9">
        <f>COUNTA('Bug &amp; Test Log'!A2:A14)</f>
        <v>13</v>
      </c>
    </row>
    <row r="4" spans="1:2" x14ac:dyDescent="0.2">
      <c r="A4" s="8" t="s">
        <v>96</v>
      </c>
      <c r="B4" s="9">
        <f>COUNTIF('Bug &amp; Test Log'!G2:G14,"High")</f>
        <v>4</v>
      </c>
    </row>
    <row r="5" spans="1:2" x14ac:dyDescent="0.2">
      <c r="A5" s="8" t="s">
        <v>97</v>
      </c>
      <c r="B5" s="9">
        <f>COUNTIF('Bug &amp; Test Log'!G2:G14,"Medium")</f>
        <v>4</v>
      </c>
    </row>
    <row r="6" spans="1:2" x14ac:dyDescent="0.2">
      <c r="A6" s="8" t="s">
        <v>98</v>
      </c>
      <c r="B6" s="9">
        <f>COUNTIF('Bug &amp; Test Log'!G2:G14,"Low")</f>
        <v>5</v>
      </c>
    </row>
    <row r="7" spans="1:2" x14ac:dyDescent="0.2">
      <c r="A7" s="8" t="s">
        <v>99</v>
      </c>
      <c r="B7" s="9">
        <f>COUNTIF('Bug &amp; Test Log'!I2:I14,"Closed")</f>
        <v>13</v>
      </c>
    </row>
    <row r="8" spans="1:2" x14ac:dyDescent="0.2">
      <c r="A8" s="8" t="s">
        <v>100</v>
      </c>
      <c r="B8" s="9">
        <f>COUNTIF('Bug &amp; Test Log'!J2:J14,"Pass")</f>
        <v>13</v>
      </c>
    </row>
    <row r="10" spans="1:2" x14ac:dyDescent="0.2">
      <c r="A10" s="10" t="s">
        <v>101</v>
      </c>
    </row>
    <row r="11" spans="1:2" x14ac:dyDescent="0.2">
      <c r="A11" s="10" t="s">
        <v>102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&amp; Test 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Anjila Gurung</cp:lastModifiedBy>
  <cp:revision>0</cp:revision>
  <dcterms:created xsi:type="dcterms:W3CDTF">2026-06-09T20:35:50Z</dcterms:created>
  <dcterms:modified xsi:type="dcterms:W3CDTF">2026-06-09T20:42:15Z</dcterms:modified>
  <dc:language>en-US</dc:language>
</cp:coreProperties>
</file>